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o1\OneDrive\Desktop\"/>
    </mc:Choice>
  </mc:AlternateContent>
  <xr:revisionPtr revIDLastSave="0" documentId="13_ncr:1_{6562DC35-712C-480A-B740-EA6BAD362CC5}" xr6:coauthVersionLast="47" xr6:coauthVersionMax="47" xr10:uidLastSave="{00000000-0000-0000-0000-000000000000}"/>
  <bookViews>
    <workbookView xWindow="-98" yWindow="-98" windowWidth="21795" windowHeight="12975" xr2:uid="{FDA5BF7B-9CD0-4983-ACA0-DC79ECBA6415}"/>
  </bookViews>
  <sheets>
    <sheet name="Oppsummering" sheetId="1" r:id="rId1"/>
    <sheet name="Timelis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B5" i="1"/>
  <c r="D95" i="2"/>
  <c r="B8" i="1"/>
  <c r="C8" i="1"/>
  <c r="C11" i="1"/>
  <c r="D11" i="1"/>
  <c r="E11" i="1"/>
  <c r="F11" i="1"/>
  <c r="B11" i="1"/>
  <c r="F17" i="1"/>
  <c r="E17" i="1"/>
  <c r="D17" i="1"/>
  <c r="C17" i="1"/>
  <c r="B17" i="1"/>
  <c r="G16" i="1"/>
  <c r="G15" i="1"/>
  <c r="G14" i="1"/>
  <c r="G13" i="1"/>
  <c r="G12" i="1"/>
  <c r="D76" i="2"/>
  <c r="D57" i="2"/>
  <c r="D38" i="2"/>
  <c r="D19" i="2"/>
  <c r="G17" i="1" l="1"/>
  <c r="B57" i="2"/>
  <c r="F8" i="1"/>
  <c r="E8" i="1"/>
  <c r="D8" i="1"/>
  <c r="G7" i="1"/>
  <c r="G4" i="1"/>
  <c r="G5" i="1"/>
  <c r="G6" i="1"/>
  <c r="G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D13E6-1304-4EA8-95BA-88D1515AF176}" keepAlive="1" name="Spørring - Tabell1" description="Tilkobling til spørringen Tabell1 i arbeidsboken." type="5" refreshedVersion="0" background="1">
    <dbPr connection="Provider=Microsoft.Mashup.OleDb.1;Data Source=$Workbook$;Location=Tabell1;Extended Properties=&quot;&quot;" command="SELECT * FROM [Tabell1]"/>
  </connection>
</connections>
</file>

<file path=xl/sharedStrings.xml><?xml version="1.0" encoding="utf-8"?>
<sst xmlns="http://schemas.openxmlformats.org/spreadsheetml/2006/main" count="202" uniqueCount="56">
  <si>
    <t>Ukenr</t>
  </si>
  <si>
    <t>Sum timer pr uke</t>
  </si>
  <si>
    <t>Oppsummering av timelister i prosjekt nr:</t>
  </si>
  <si>
    <t>Sum antall timer pr person/totalt</t>
  </si>
  <si>
    <t>Timelister med statusrapporter</t>
  </si>
  <si>
    <t>Timeliste</t>
  </si>
  <si>
    <t>Aktivitet</t>
  </si>
  <si>
    <t>Antall timer</t>
  </si>
  <si>
    <t>Kategori</t>
  </si>
  <si>
    <t>Uke 1</t>
  </si>
  <si>
    <t>Uke 2</t>
  </si>
  <si>
    <t>Uke 3</t>
  </si>
  <si>
    <t>Uke 4</t>
  </si>
  <si>
    <t>Informasjonssøking</t>
  </si>
  <si>
    <t>Testing av egne program</t>
  </si>
  <si>
    <t>Feilretting av program</t>
  </si>
  <si>
    <t>Teammøter</t>
  </si>
  <si>
    <t>Teammøter med veileder</t>
  </si>
  <si>
    <t>Sykdom</t>
  </si>
  <si>
    <t>Dokumentasjon</t>
  </si>
  <si>
    <t>Programmering</t>
  </si>
  <si>
    <t>Administrasjon</t>
  </si>
  <si>
    <t>Konstruksjon</t>
  </si>
  <si>
    <t>Sum antall timer totalt</t>
  </si>
  <si>
    <t>Sum totalt pr kategori</t>
  </si>
  <si>
    <t>Oppsummering av timer fordelt på kategori</t>
  </si>
  <si>
    <t>Annet</t>
  </si>
  <si>
    <t>Helle</t>
  </si>
  <si>
    <t>Emil</t>
  </si>
  <si>
    <t>Melissa</t>
  </si>
  <si>
    <t>Valdemar</t>
  </si>
  <si>
    <t>Viktor</t>
  </si>
  <si>
    <t>Organisering/planlegging/diskusjon</t>
  </si>
  <si>
    <t>Prosjektrapport</t>
  </si>
  <si>
    <t>Prototype</t>
  </si>
  <si>
    <t>Implementasjon (opprettelse av kode)</t>
  </si>
  <si>
    <t>Lagde gantt diagram og gjorde klar til møte, samt begynte på prosjektplan</t>
  </si>
  <si>
    <t>Diskusjon og arbeidsfordeling</t>
  </si>
  <si>
    <t>Uke</t>
  </si>
  <si>
    <t>Brainstorm og fremdriftsplan</t>
  </si>
  <si>
    <t>Lego bygging</t>
  </si>
  <si>
    <t>Tegnet skisser av robot</t>
  </si>
  <si>
    <t>Eksperimenterte med robot mekanismen</t>
  </si>
  <si>
    <t>Inforsmasjonssøking</t>
  </si>
  <si>
    <t>Veiledningsmøte</t>
  </si>
  <si>
    <t>Møteforbredelse og prosjektplan</t>
  </si>
  <si>
    <t xml:space="preserve">Informasjonssøking </t>
  </si>
  <si>
    <t>Koding</t>
  </si>
  <si>
    <t>Prosjektplan</t>
  </si>
  <si>
    <t>Prosjketrapport</t>
  </si>
  <si>
    <t>Timelister</t>
  </si>
  <si>
    <t>Debug av kode og legobygging</t>
  </si>
  <si>
    <t>Lage presentasjon</t>
  </si>
  <si>
    <t>Timelsiter</t>
  </si>
  <si>
    <t>Finpusset kode</t>
  </si>
  <si>
    <t>Bygget om klo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</si>
</sst>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1" xfId="0" applyNumberFormat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/>
    </xf>
    <xf numFmtId="0" fontId="1" fillId="0" borderId="0" xfId="0" applyFont="1" applyBorder="1"/>
    <xf numFmtId="164" fontId="1" fillId="0" borderId="0" xfId="0" applyNumberFormat="1" applyFont="1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/>
    </xf>
    <xf numFmtId="0" fontId="0" fillId="6" borderId="4" xfId="0" applyFont="1" applyFill="1" applyBorder="1"/>
    <xf numFmtId="0" fontId="0" fillId="4" borderId="4" xfId="0" applyFont="1" applyFill="1" applyBorder="1"/>
    <xf numFmtId="0" fontId="0" fillId="5" borderId="4" xfId="0" applyFont="1" applyFill="1" applyBorder="1"/>
    <xf numFmtId="0" fontId="0" fillId="7" borderId="4" xfId="0" applyFont="1" applyFill="1" applyBorder="1"/>
    <xf numFmtId="0" fontId="0" fillId="3" borderId="4" xfId="0" applyFont="1" applyFill="1" applyBorder="1"/>
    <xf numFmtId="0" fontId="0" fillId="0" borderId="0" xfId="0" applyFont="1"/>
    <xf numFmtId="2" fontId="0" fillId="0" borderId="1" xfId="0" applyNumberFormat="1" applyBorder="1"/>
    <xf numFmtId="0" fontId="0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3" xfId="0" applyBorder="1"/>
    <xf numFmtId="0" fontId="1" fillId="0" borderId="3" xfId="0" applyFont="1" applyBorder="1"/>
    <xf numFmtId="0" fontId="0" fillId="0" borderId="1" xfId="0" applyFill="1" applyBorder="1" applyAlignment="1"/>
    <xf numFmtId="2" fontId="0" fillId="0" borderId="3" xfId="0" applyNumberFormat="1" applyBorder="1"/>
    <xf numFmtId="164" fontId="0" fillId="0" borderId="3" xfId="0" applyNumberFormat="1" applyBorder="1"/>
    <xf numFmtId="164" fontId="1" fillId="0" borderId="3" xfId="0" applyNumberFormat="1" applyFont="1" applyBorder="1"/>
    <xf numFmtId="0" fontId="0" fillId="6" borderId="1" xfId="0" applyFont="1" applyFill="1" applyBorder="1"/>
    <xf numFmtId="0" fontId="0" fillId="7" borderId="1" xfId="0" applyFont="1" applyFill="1" applyBorder="1"/>
    <xf numFmtId="2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853B-C169-4181-BEED-7E274EC355C6}">
  <dimension ref="A1:K41"/>
  <sheetViews>
    <sheetView tabSelected="1" zoomScale="69" zoomScaleNormal="110" workbookViewId="0">
      <selection activeCell="G12" sqref="G12"/>
    </sheetView>
  </sheetViews>
  <sheetFormatPr defaultColWidth="10.6640625" defaultRowHeight="22.5" customHeight="1" x14ac:dyDescent="0.45"/>
  <cols>
    <col min="1" max="1" width="35" customWidth="1"/>
    <col min="2" max="6" width="13.59765625" customWidth="1"/>
    <col min="7" max="7" width="20.46484375" customWidth="1"/>
    <col min="8" max="8" width="12.06640625" customWidth="1"/>
    <col min="9" max="9" width="48.796875" customWidth="1"/>
    <col min="11" max="11" width="158.6640625" customWidth="1"/>
  </cols>
  <sheetData>
    <row r="1" spans="1:9" ht="22.5" customHeight="1" x14ac:dyDescent="0.7">
      <c r="A1" s="3" t="s">
        <v>2</v>
      </c>
    </row>
    <row r="3" spans="1:9" ht="22.5" customHeight="1" x14ac:dyDescent="0.45">
      <c r="A3" s="8" t="s">
        <v>0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 t="s">
        <v>1</v>
      </c>
    </row>
    <row r="4" spans="1:9" ht="22.5" customHeight="1" x14ac:dyDescent="0.5">
      <c r="A4" s="13" t="s">
        <v>9</v>
      </c>
      <c r="B4" s="14">
        <v>4</v>
      </c>
      <c r="C4" s="14">
        <v>3</v>
      </c>
      <c r="D4" s="14">
        <v>3</v>
      </c>
      <c r="E4" s="14">
        <v>3</v>
      </c>
      <c r="F4" s="14">
        <v>3</v>
      </c>
      <c r="G4" s="16">
        <f t="shared" ref="G4:G7" si="0">SUM(B4:F4)</f>
        <v>16</v>
      </c>
    </row>
    <row r="5" spans="1:9" ht="22.5" customHeight="1" x14ac:dyDescent="0.5">
      <c r="A5" s="13" t="s">
        <v>10</v>
      </c>
      <c r="B5" s="39">
        <f>Timeliste!D9+Timeliste!D10+Timeliste!D11+Timeliste!D12+Timeliste!D13+Timeliste!D14</f>
        <v>9</v>
      </c>
      <c r="C5" s="39">
        <f>Timeliste!D27+Timeliste!D28+Timeliste!D29+Timeliste!D30+Timeliste!D31+Timeliste!D32+Timeliste!D33</f>
        <v>9.5</v>
      </c>
      <c r="D5" s="39">
        <f>Timeliste!D46+Timeliste!D47+Timeliste!D48+Timeliste!D49+Timeliste!D50+Timeliste!D51+Timeliste!D52+Timeliste!D53</f>
        <v>10</v>
      </c>
      <c r="E5" s="40">
        <v>10</v>
      </c>
      <c r="F5" s="39">
        <v>9.5</v>
      </c>
      <c r="G5" s="16">
        <f t="shared" si="0"/>
        <v>48</v>
      </c>
      <c r="I5" s="8" t="s">
        <v>6</v>
      </c>
    </row>
    <row r="6" spans="1:9" ht="22.5" customHeight="1" x14ac:dyDescent="0.5">
      <c r="A6" s="13" t="s">
        <v>11</v>
      </c>
      <c r="B6" s="14">
        <v>3</v>
      </c>
      <c r="C6" s="14">
        <v>4</v>
      </c>
      <c r="D6" s="14">
        <v>3</v>
      </c>
      <c r="E6" s="14">
        <v>3</v>
      </c>
      <c r="F6" s="14">
        <v>4.5</v>
      </c>
      <c r="G6" s="16">
        <f t="shared" si="0"/>
        <v>17.5</v>
      </c>
      <c r="I6" s="21" t="s">
        <v>13</v>
      </c>
    </row>
    <row r="7" spans="1:9" ht="22.5" customHeight="1" x14ac:dyDescent="0.5">
      <c r="A7" s="13" t="s">
        <v>12</v>
      </c>
      <c r="B7" s="14"/>
      <c r="C7" s="14"/>
      <c r="D7" s="14"/>
      <c r="E7" s="14"/>
      <c r="F7" s="14"/>
      <c r="G7" s="16">
        <f t="shared" si="0"/>
        <v>0</v>
      </c>
      <c r="I7" s="21" t="s">
        <v>33</v>
      </c>
    </row>
    <row r="8" spans="1:9" ht="22.5" customHeight="1" x14ac:dyDescent="0.5">
      <c r="A8" s="15" t="s">
        <v>3</v>
      </c>
      <c r="B8" s="16">
        <f t="shared" ref="B8:G8" si="1">SUM(B4:B7)</f>
        <v>16</v>
      </c>
      <c r="C8" s="16">
        <f t="shared" si="1"/>
        <v>16.5</v>
      </c>
      <c r="D8" s="16">
        <f t="shared" si="1"/>
        <v>16</v>
      </c>
      <c r="E8" s="16">
        <f t="shared" si="1"/>
        <v>16</v>
      </c>
      <c r="F8" s="16">
        <f t="shared" si="1"/>
        <v>17</v>
      </c>
      <c r="G8" s="16">
        <f t="shared" si="1"/>
        <v>81.5</v>
      </c>
      <c r="I8" s="22" t="s">
        <v>16</v>
      </c>
    </row>
    <row r="9" spans="1:9" ht="22.5" customHeight="1" x14ac:dyDescent="0.5">
      <c r="A9" s="19"/>
      <c r="B9" s="20"/>
      <c r="C9" s="20"/>
      <c r="D9" s="20"/>
      <c r="E9" s="20"/>
      <c r="F9" s="20"/>
      <c r="G9" s="20"/>
      <c r="I9" s="22" t="s">
        <v>17</v>
      </c>
    </row>
    <row r="10" spans="1:9" ht="22.5" customHeight="1" x14ac:dyDescent="0.7">
      <c r="A10" s="3" t="s">
        <v>25</v>
      </c>
      <c r="I10" s="22" t="s">
        <v>32</v>
      </c>
    </row>
    <row r="11" spans="1:9" ht="22.5" customHeight="1" x14ac:dyDescent="0.45">
      <c r="A11" s="8" t="s">
        <v>8</v>
      </c>
      <c r="B11" s="8" t="str">
        <f>B3</f>
        <v>Helle</v>
      </c>
      <c r="C11" s="8" t="str">
        <f>C3</f>
        <v>Emil</v>
      </c>
      <c r="D11" s="8" t="str">
        <f>D3</f>
        <v>Melissa</v>
      </c>
      <c r="E11" s="8" t="str">
        <f>E3</f>
        <v>Valdemar</v>
      </c>
      <c r="F11" s="8" t="str">
        <f>F3</f>
        <v>Viktor</v>
      </c>
      <c r="G11" s="8" t="s">
        <v>24</v>
      </c>
      <c r="I11" s="23" t="s">
        <v>35</v>
      </c>
    </row>
    <row r="12" spans="1:9" ht="22.5" customHeight="1" x14ac:dyDescent="0.45">
      <c r="A12" s="21" t="s">
        <v>19</v>
      </c>
      <c r="B12" s="1">
        <v>7</v>
      </c>
      <c r="C12" s="1">
        <v>9</v>
      </c>
      <c r="D12" s="1">
        <v>7</v>
      </c>
      <c r="E12" s="1">
        <v>7.5</v>
      </c>
      <c r="F12" s="1">
        <v>7.5</v>
      </c>
      <c r="G12" s="2">
        <f>SUM(B12:F12)</f>
        <v>38</v>
      </c>
      <c r="I12" s="23" t="s">
        <v>14</v>
      </c>
    </row>
    <row r="13" spans="1:9" ht="22.5" customHeight="1" x14ac:dyDescent="0.45">
      <c r="A13" s="22" t="s">
        <v>21</v>
      </c>
      <c r="B13" s="1">
        <v>3</v>
      </c>
      <c r="C13" s="1">
        <v>3</v>
      </c>
      <c r="D13" s="1">
        <v>3</v>
      </c>
      <c r="E13" s="1">
        <v>3</v>
      </c>
      <c r="F13" s="1">
        <v>3</v>
      </c>
      <c r="G13" s="2">
        <f>SUM(B13:F13)</f>
        <v>15</v>
      </c>
      <c r="I13" s="23" t="s">
        <v>15</v>
      </c>
    </row>
    <row r="14" spans="1:9" s="4" customFormat="1" ht="22.5" customHeight="1" x14ac:dyDescent="0.45">
      <c r="A14" s="23" t="s">
        <v>20</v>
      </c>
      <c r="B14" s="1">
        <v>3.5</v>
      </c>
      <c r="C14" s="1">
        <v>3</v>
      </c>
      <c r="D14" s="1">
        <v>3.5</v>
      </c>
      <c r="E14" s="1">
        <v>3</v>
      </c>
      <c r="F14" s="1">
        <v>4.5</v>
      </c>
      <c r="G14" s="2">
        <f>SUM(B14:F14)</f>
        <v>17.5</v>
      </c>
      <c r="I14" s="24" t="s">
        <v>34</v>
      </c>
    </row>
    <row r="15" spans="1:9" s="4" customFormat="1" ht="30" customHeight="1" x14ac:dyDescent="0.45">
      <c r="A15" s="24" t="s">
        <v>22</v>
      </c>
      <c r="B15" s="1">
        <v>2.5</v>
      </c>
      <c r="C15" s="1">
        <v>1.5</v>
      </c>
      <c r="D15" s="1">
        <v>2.5</v>
      </c>
      <c r="E15" s="1">
        <v>2</v>
      </c>
      <c r="F15" s="1">
        <v>2</v>
      </c>
      <c r="G15" s="2">
        <f>SUM(B15:F15)</f>
        <v>10.5</v>
      </c>
      <c r="I15" s="25" t="s">
        <v>18</v>
      </c>
    </row>
    <row r="16" spans="1:9" ht="19.5" customHeight="1" x14ac:dyDescent="0.45">
      <c r="A16" s="25" t="s">
        <v>26</v>
      </c>
      <c r="B16" s="1"/>
      <c r="C16" s="1"/>
      <c r="D16" s="1"/>
      <c r="E16" s="1">
        <v>0.5</v>
      </c>
      <c r="F16" s="1"/>
      <c r="G16" s="2">
        <f>SUM(B16:F16)</f>
        <v>0.5</v>
      </c>
      <c r="I16" s="25" t="s">
        <v>26</v>
      </c>
    </row>
    <row r="17" spans="1:11" ht="22.5" customHeight="1" x14ac:dyDescent="0.45">
      <c r="A17" s="2" t="s">
        <v>23</v>
      </c>
      <c r="B17" s="2">
        <f t="shared" ref="B17:G17" si="2">SUM(B12:B16)</f>
        <v>16</v>
      </c>
      <c r="C17" s="2">
        <f t="shared" si="2"/>
        <v>16.5</v>
      </c>
      <c r="D17" s="2">
        <f t="shared" si="2"/>
        <v>16</v>
      </c>
      <c r="E17" s="2">
        <f t="shared" si="2"/>
        <v>16</v>
      </c>
      <c r="F17" s="2">
        <f t="shared" si="2"/>
        <v>17</v>
      </c>
      <c r="G17" s="2">
        <f t="shared" si="2"/>
        <v>81.5</v>
      </c>
    </row>
    <row r="18" spans="1:11" ht="22.5" customHeight="1" x14ac:dyDescent="0.45">
      <c r="K18" s="11"/>
    </row>
    <row r="41" ht="30" customHeight="1" x14ac:dyDescent="0.45"/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44C7-C58B-4865-BA4D-DE664E48D318}">
  <dimension ref="A1:AC115"/>
  <sheetViews>
    <sheetView topLeftCell="A51" zoomScale="66" zoomScaleNormal="40" workbookViewId="0">
      <selection activeCell="F80" sqref="F80"/>
    </sheetView>
  </sheetViews>
  <sheetFormatPr defaultColWidth="10.6640625" defaultRowHeight="18" customHeight="1" x14ac:dyDescent="0.45"/>
  <cols>
    <col min="2" max="2" width="59.86328125" customWidth="1"/>
    <col min="3" max="3" width="51.86328125" customWidth="1"/>
    <col min="4" max="4" width="15.59765625" customWidth="1"/>
    <col min="7" max="7" width="24.86328125" style="11" customWidth="1"/>
  </cols>
  <sheetData>
    <row r="1" spans="1:7" ht="24.75" customHeight="1" x14ac:dyDescent="0.7">
      <c r="B1" s="9" t="s">
        <v>4</v>
      </c>
      <c r="C1" s="9"/>
      <c r="G1" s="10"/>
    </row>
    <row r="2" spans="1:7" ht="30" customHeight="1" x14ac:dyDescent="0.45">
      <c r="G2" s="12"/>
    </row>
    <row r="3" spans="1:7" s="4" customFormat="1" ht="18" customHeight="1" x14ac:dyDescent="0.45">
      <c r="A3" s="8"/>
      <c r="B3" s="41" t="s">
        <v>5</v>
      </c>
      <c r="C3" s="42"/>
      <c r="D3" s="8" t="s">
        <v>27</v>
      </c>
      <c r="G3" s="5"/>
    </row>
    <row r="4" spans="1:7" s="4" customFormat="1" ht="18" customHeight="1" x14ac:dyDescent="0.45">
      <c r="A4" s="8" t="s">
        <v>38</v>
      </c>
      <c r="B4" s="8" t="s">
        <v>6</v>
      </c>
      <c r="C4" s="8" t="s">
        <v>8</v>
      </c>
      <c r="D4" s="8" t="s">
        <v>7</v>
      </c>
      <c r="G4" s="5"/>
    </row>
    <row r="5" spans="1:7" ht="18" customHeight="1" x14ac:dyDescent="0.45">
      <c r="A5" s="6" t="s">
        <v>9</v>
      </c>
      <c r="B5" s="28" t="s">
        <v>36</v>
      </c>
      <c r="C5" s="21" t="s">
        <v>19</v>
      </c>
      <c r="D5" s="6">
        <v>1</v>
      </c>
    </row>
    <row r="6" spans="1:7" ht="18" customHeight="1" x14ac:dyDescent="0.45">
      <c r="A6" s="6"/>
      <c r="B6" s="1" t="s">
        <v>39</v>
      </c>
      <c r="C6" s="22" t="s">
        <v>21</v>
      </c>
      <c r="D6" s="27">
        <v>1.5</v>
      </c>
    </row>
    <row r="7" spans="1:7" ht="18" customHeight="1" x14ac:dyDescent="0.45">
      <c r="A7" s="6"/>
      <c r="B7" s="1" t="s">
        <v>40</v>
      </c>
      <c r="C7" s="24" t="s">
        <v>22</v>
      </c>
      <c r="D7" s="6">
        <v>0.5</v>
      </c>
    </row>
    <row r="8" spans="1:7" ht="18" customHeight="1" x14ac:dyDescent="0.45">
      <c r="A8" s="6"/>
      <c r="B8" s="1" t="s">
        <v>33</v>
      </c>
      <c r="C8" s="21" t="s">
        <v>19</v>
      </c>
      <c r="D8" s="27">
        <v>0.75</v>
      </c>
    </row>
    <row r="9" spans="1:7" ht="18" customHeight="1" x14ac:dyDescent="0.45">
      <c r="A9" s="6" t="s">
        <v>10</v>
      </c>
      <c r="B9" s="29" t="s">
        <v>43</v>
      </c>
      <c r="C9" s="21" t="s">
        <v>19</v>
      </c>
      <c r="D9" s="27">
        <v>1.5</v>
      </c>
    </row>
    <row r="10" spans="1:7" ht="18" customHeight="1" x14ac:dyDescent="0.45">
      <c r="A10" s="6"/>
      <c r="B10" s="30" t="s">
        <v>44</v>
      </c>
      <c r="C10" s="22" t="s">
        <v>21</v>
      </c>
      <c r="D10" s="27">
        <v>0.75</v>
      </c>
    </row>
    <row r="11" spans="1:7" ht="18" customHeight="1" x14ac:dyDescent="0.45">
      <c r="A11" s="6"/>
      <c r="B11" s="29" t="s">
        <v>40</v>
      </c>
      <c r="C11" s="24" t="s">
        <v>22</v>
      </c>
      <c r="D11" s="27">
        <v>2</v>
      </c>
    </row>
    <row r="12" spans="1:7" ht="18" customHeight="1" x14ac:dyDescent="0.45">
      <c r="A12" s="6"/>
      <c r="B12" s="33" t="s">
        <v>37</v>
      </c>
      <c r="C12" s="22" t="s">
        <v>21</v>
      </c>
      <c r="D12" s="27">
        <v>0.5</v>
      </c>
    </row>
    <row r="13" spans="1:7" ht="18" customHeight="1" x14ac:dyDescent="0.45">
      <c r="A13" s="6"/>
      <c r="B13" s="29" t="s">
        <v>33</v>
      </c>
      <c r="C13" s="21" t="s">
        <v>19</v>
      </c>
      <c r="D13" s="27">
        <v>0.75</v>
      </c>
    </row>
    <row r="14" spans="1:7" ht="18" customHeight="1" x14ac:dyDescent="0.45">
      <c r="A14" s="6"/>
      <c r="B14" s="1" t="s">
        <v>51</v>
      </c>
      <c r="C14" s="23" t="s">
        <v>20</v>
      </c>
      <c r="D14" s="27">
        <v>3.5</v>
      </c>
    </row>
    <row r="15" spans="1:7" ht="18" customHeight="1" x14ac:dyDescent="0.45">
      <c r="A15" s="6" t="s">
        <v>11</v>
      </c>
      <c r="B15" s="29" t="s">
        <v>33</v>
      </c>
      <c r="C15" s="21" t="s">
        <v>19</v>
      </c>
      <c r="D15" s="27">
        <v>3</v>
      </c>
    </row>
    <row r="16" spans="1:7" ht="18" customHeight="1" x14ac:dyDescent="0.45">
      <c r="A16" s="6"/>
      <c r="B16" s="1"/>
      <c r="C16" s="31"/>
      <c r="D16" s="27"/>
    </row>
    <row r="17" spans="1:29" ht="18" customHeight="1" x14ac:dyDescent="0.45">
      <c r="A17" s="6"/>
      <c r="B17" s="1"/>
      <c r="C17" s="31"/>
      <c r="D17" s="27"/>
    </row>
    <row r="18" spans="1:29" ht="18" customHeight="1" x14ac:dyDescent="0.45">
      <c r="A18" s="6"/>
      <c r="B18" s="1"/>
      <c r="C18" s="31"/>
      <c r="D18" s="27"/>
    </row>
    <row r="19" spans="1:29" s="4" customFormat="1" ht="18" customHeight="1" x14ac:dyDescent="0.45">
      <c r="A19" s="7"/>
      <c r="B19" s="2"/>
      <c r="C19" s="32"/>
      <c r="D19" s="7">
        <f>SUM(D5:D18)</f>
        <v>15.75</v>
      </c>
      <c r="G19" s="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2" spans="1:29" s="4" customFormat="1" ht="18" customHeight="1" x14ac:dyDescent="0.45">
      <c r="A22" s="8"/>
      <c r="B22" s="41" t="s">
        <v>5</v>
      </c>
      <c r="C22" s="42"/>
      <c r="D22" s="8" t="s">
        <v>28</v>
      </c>
      <c r="G22" s="5"/>
      <c r="I22"/>
      <c r="J22"/>
      <c r="K22"/>
      <c r="L22"/>
      <c r="M22"/>
      <c r="N22"/>
      <c r="O22"/>
    </row>
    <row r="23" spans="1:29" s="4" customFormat="1" ht="18" customHeight="1" x14ac:dyDescent="0.45">
      <c r="A23" s="8" t="s">
        <v>38</v>
      </c>
      <c r="B23" s="8" t="s">
        <v>6</v>
      </c>
      <c r="C23" s="8" t="s">
        <v>8</v>
      </c>
      <c r="D23" s="8" t="s">
        <v>7</v>
      </c>
      <c r="G23" s="5"/>
      <c r="I23"/>
      <c r="J23"/>
      <c r="K23"/>
      <c r="L23"/>
      <c r="M23"/>
      <c r="N23"/>
      <c r="O23"/>
    </row>
    <row r="24" spans="1:29" ht="18" customHeight="1" x14ac:dyDescent="0.45">
      <c r="A24" s="6" t="s">
        <v>9</v>
      </c>
      <c r="B24" s="28" t="s">
        <v>36</v>
      </c>
      <c r="C24" s="21" t="s">
        <v>19</v>
      </c>
      <c r="D24" s="27">
        <v>1</v>
      </c>
    </row>
    <row r="25" spans="1:29" ht="18" customHeight="1" x14ac:dyDescent="0.45">
      <c r="A25" s="6"/>
      <c r="B25" s="1" t="s">
        <v>39</v>
      </c>
      <c r="C25" s="22" t="s">
        <v>21</v>
      </c>
      <c r="D25" s="27">
        <v>1.5</v>
      </c>
      <c r="P25" s="4"/>
      <c r="Q25" s="4"/>
      <c r="R25" s="4"/>
    </row>
    <row r="26" spans="1:29" ht="18" customHeight="1" x14ac:dyDescent="0.45">
      <c r="A26" s="6"/>
      <c r="B26" s="29" t="s">
        <v>42</v>
      </c>
      <c r="C26" s="24" t="s">
        <v>22</v>
      </c>
      <c r="D26" s="27">
        <v>0.5</v>
      </c>
      <c r="P26" s="4"/>
      <c r="Q26" s="4"/>
      <c r="R26" s="4"/>
    </row>
    <row r="27" spans="1:29" ht="18" customHeight="1" x14ac:dyDescent="0.45">
      <c r="A27" s="6" t="s">
        <v>10</v>
      </c>
      <c r="B27" s="29" t="s">
        <v>43</v>
      </c>
      <c r="C27" s="21" t="s">
        <v>19</v>
      </c>
      <c r="D27" s="27">
        <v>1.5</v>
      </c>
    </row>
    <row r="28" spans="1:29" ht="18" customHeight="1" x14ac:dyDescent="0.45">
      <c r="A28" s="6"/>
      <c r="B28" s="30" t="s">
        <v>44</v>
      </c>
      <c r="C28" s="22" t="s">
        <v>21</v>
      </c>
      <c r="D28" s="27">
        <v>0.75</v>
      </c>
      <c r="P28" s="4"/>
      <c r="Q28" s="4"/>
      <c r="R28" s="4"/>
    </row>
    <row r="29" spans="1:29" ht="18" customHeight="1" x14ac:dyDescent="0.45">
      <c r="A29" s="6"/>
      <c r="B29" s="28" t="s">
        <v>45</v>
      </c>
      <c r="C29" s="21" t="s">
        <v>19</v>
      </c>
      <c r="D29" s="27">
        <v>1</v>
      </c>
      <c r="P29" s="4"/>
      <c r="Q29" s="4"/>
      <c r="R29" s="4"/>
    </row>
    <row r="30" spans="1:29" ht="18" customHeight="1" x14ac:dyDescent="0.45">
      <c r="A30" s="6"/>
      <c r="B30" s="1" t="s">
        <v>46</v>
      </c>
      <c r="C30" s="21" t="s">
        <v>19</v>
      </c>
      <c r="D30" s="27">
        <v>1</v>
      </c>
    </row>
    <row r="31" spans="1:29" ht="18" customHeight="1" x14ac:dyDescent="0.45">
      <c r="A31" s="6"/>
      <c r="B31" s="33" t="s">
        <v>37</v>
      </c>
      <c r="C31" s="22" t="s">
        <v>21</v>
      </c>
      <c r="D31" s="27">
        <v>0.5</v>
      </c>
    </row>
    <row r="32" spans="1:29" ht="18" customHeight="1" x14ac:dyDescent="0.45">
      <c r="A32" s="6"/>
      <c r="B32" s="29" t="s">
        <v>47</v>
      </c>
      <c r="C32" s="23" t="s">
        <v>20</v>
      </c>
      <c r="D32" s="27">
        <v>1.25</v>
      </c>
    </row>
    <row r="33" spans="1:15" ht="18" customHeight="1" x14ac:dyDescent="0.45">
      <c r="A33" s="6"/>
      <c r="B33" s="29" t="s">
        <v>49</v>
      </c>
      <c r="C33" s="21" t="s">
        <v>19</v>
      </c>
      <c r="D33" s="27">
        <v>3.5</v>
      </c>
    </row>
    <row r="34" spans="1:15" ht="18" customHeight="1" x14ac:dyDescent="0.45">
      <c r="A34" s="6" t="s">
        <v>11</v>
      </c>
      <c r="B34" s="1" t="s">
        <v>51</v>
      </c>
      <c r="C34" s="23" t="s">
        <v>20</v>
      </c>
      <c r="D34" s="6">
        <v>2</v>
      </c>
      <c r="G34"/>
    </row>
    <row r="35" spans="1:15" ht="18" customHeight="1" x14ac:dyDescent="0.45">
      <c r="A35" s="6"/>
      <c r="B35" s="1" t="s">
        <v>52</v>
      </c>
      <c r="C35" s="21" t="s">
        <v>19</v>
      </c>
      <c r="D35" s="6">
        <v>1</v>
      </c>
      <c r="F35" s="4"/>
      <c r="H35" s="4"/>
      <c r="I35" s="4"/>
      <c r="J35" s="4"/>
      <c r="K35" s="4"/>
      <c r="L35" s="4"/>
      <c r="M35" s="4"/>
      <c r="N35" s="4"/>
      <c r="O35" s="4"/>
    </row>
    <row r="36" spans="1:15" ht="18" customHeight="1" x14ac:dyDescent="0.45">
      <c r="A36" s="6"/>
      <c r="B36" s="26" t="s">
        <v>55</v>
      </c>
      <c r="C36" s="24" t="s">
        <v>22</v>
      </c>
      <c r="D36" s="6">
        <v>1</v>
      </c>
      <c r="G36"/>
    </row>
    <row r="37" spans="1:15" ht="18" customHeight="1" x14ac:dyDescent="0.45">
      <c r="A37" s="6"/>
      <c r="B37" s="1"/>
      <c r="C37" s="31"/>
      <c r="D37" s="6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s="4" customFormat="1" ht="18" customHeight="1" x14ac:dyDescent="0.45">
      <c r="A38" s="7"/>
      <c r="B38" s="2"/>
      <c r="C38" s="32"/>
      <c r="D38" s="7">
        <f>SUM(D24:D37)</f>
        <v>16.5</v>
      </c>
      <c r="F38"/>
      <c r="G38"/>
      <c r="H38"/>
      <c r="I38"/>
      <c r="J38"/>
      <c r="K38"/>
      <c r="L38"/>
      <c r="M38"/>
      <c r="N38"/>
      <c r="O38"/>
    </row>
    <row r="39" spans="1:15" ht="18" customHeight="1" x14ac:dyDescent="0.45"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8" customHeight="1" x14ac:dyDescent="0.45">
      <c r="G40"/>
    </row>
    <row r="41" spans="1:15" s="4" customFormat="1" ht="18" customHeight="1" x14ac:dyDescent="0.45">
      <c r="A41" s="8"/>
      <c r="B41" s="41" t="s">
        <v>5</v>
      </c>
      <c r="C41" s="42"/>
      <c r="D41" s="8" t="s">
        <v>29</v>
      </c>
    </row>
    <row r="42" spans="1:15" s="4" customFormat="1" ht="18" customHeight="1" x14ac:dyDescent="0.45">
      <c r="A42" s="8" t="s">
        <v>38</v>
      </c>
      <c r="B42" s="8" t="s">
        <v>6</v>
      </c>
      <c r="C42" s="8" t="s">
        <v>8</v>
      </c>
      <c r="D42" s="8" t="s">
        <v>7</v>
      </c>
      <c r="F42"/>
      <c r="G42"/>
      <c r="H42"/>
      <c r="I42"/>
      <c r="J42"/>
      <c r="K42"/>
      <c r="L42"/>
      <c r="M42"/>
      <c r="N42"/>
      <c r="O42"/>
    </row>
    <row r="43" spans="1:15" ht="18" customHeight="1" x14ac:dyDescent="0.45">
      <c r="A43" s="6" t="s">
        <v>9</v>
      </c>
      <c r="B43" s="28" t="s">
        <v>36</v>
      </c>
      <c r="C43" s="21" t="s">
        <v>19</v>
      </c>
      <c r="D43" s="6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8" customHeight="1" x14ac:dyDescent="0.45">
      <c r="A44" s="6"/>
      <c r="B44" s="1" t="s">
        <v>39</v>
      </c>
      <c r="C44" s="22" t="s">
        <v>21</v>
      </c>
      <c r="D44" s="27">
        <v>1.5</v>
      </c>
      <c r="G44"/>
    </row>
    <row r="45" spans="1:15" ht="18" customHeight="1" x14ac:dyDescent="0.45">
      <c r="A45" s="6"/>
      <c r="B45" s="1" t="s">
        <v>40</v>
      </c>
      <c r="C45" s="24" t="s">
        <v>22</v>
      </c>
      <c r="D45" s="6">
        <v>0.5</v>
      </c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8" customHeight="1" x14ac:dyDescent="0.45">
      <c r="A46" s="6" t="s">
        <v>10</v>
      </c>
      <c r="B46" s="29" t="s">
        <v>43</v>
      </c>
      <c r="C46" s="21" t="s">
        <v>19</v>
      </c>
      <c r="D46" s="27">
        <v>1.5</v>
      </c>
      <c r="G46"/>
    </row>
    <row r="47" spans="1:15" ht="18" customHeight="1" x14ac:dyDescent="0.45">
      <c r="A47" s="6"/>
      <c r="B47" s="30" t="s">
        <v>44</v>
      </c>
      <c r="C47" s="22" t="s">
        <v>21</v>
      </c>
      <c r="D47" s="27">
        <v>0.75</v>
      </c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8" customHeight="1" x14ac:dyDescent="0.45">
      <c r="A48" s="6"/>
      <c r="B48" s="29" t="s">
        <v>33</v>
      </c>
      <c r="C48" s="21" t="s">
        <v>19</v>
      </c>
      <c r="D48" s="6">
        <v>0.5</v>
      </c>
      <c r="G48"/>
    </row>
    <row r="49" spans="1:15" ht="18" customHeight="1" x14ac:dyDescent="0.45">
      <c r="A49" s="6"/>
      <c r="B49" s="29" t="s">
        <v>40</v>
      </c>
      <c r="C49" s="24" t="s">
        <v>22</v>
      </c>
      <c r="D49" s="6">
        <v>2</v>
      </c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8" customHeight="1" x14ac:dyDescent="0.45">
      <c r="A50" s="6"/>
      <c r="B50" s="33" t="s">
        <v>37</v>
      </c>
      <c r="C50" s="22" t="s">
        <v>21</v>
      </c>
      <c r="D50" s="6">
        <v>0.5</v>
      </c>
    </row>
    <row r="51" spans="1:15" ht="18" customHeight="1" x14ac:dyDescent="0.45">
      <c r="A51" s="6"/>
      <c r="B51" s="29" t="s">
        <v>48</v>
      </c>
      <c r="C51" s="21" t="s">
        <v>19</v>
      </c>
      <c r="D51" s="6">
        <v>0.75</v>
      </c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8" customHeight="1" x14ac:dyDescent="0.45">
      <c r="A52" s="6"/>
      <c r="B52" s="29" t="s">
        <v>50</v>
      </c>
      <c r="C52" s="21" t="s">
        <v>19</v>
      </c>
      <c r="D52" s="6">
        <v>0.5</v>
      </c>
      <c r="G52"/>
    </row>
    <row r="53" spans="1:15" ht="18" customHeight="1" x14ac:dyDescent="0.45">
      <c r="A53" s="6"/>
      <c r="B53" s="1" t="s">
        <v>51</v>
      </c>
      <c r="C53" s="23" t="s">
        <v>20</v>
      </c>
      <c r="D53" s="6">
        <v>3.5</v>
      </c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8" customHeight="1" x14ac:dyDescent="0.45">
      <c r="A54" s="6" t="s">
        <v>11</v>
      </c>
      <c r="B54" s="29" t="s">
        <v>33</v>
      </c>
      <c r="C54" s="21" t="s">
        <v>19</v>
      </c>
      <c r="D54" s="6">
        <v>2</v>
      </c>
      <c r="G54"/>
    </row>
    <row r="55" spans="1:15" ht="18" customHeight="1" x14ac:dyDescent="0.45">
      <c r="A55" s="6"/>
      <c r="B55" s="1" t="s">
        <v>53</v>
      </c>
      <c r="C55" s="21" t="s">
        <v>19</v>
      </c>
      <c r="D55" s="6">
        <v>1</v>
      </c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8" customHeight="1" x14ac:dyDescent="0.45">
      <c r="A56" s="6"/>
      <c r="B56" s="1"/>
      <c r="C56" s="31"/>
      <c r="D56" s="6"/>
      <c r="G56"/>
    </row>
    <row r="57" spans="1:15" s="4" customFormat="1" ht="18" customHeight="1" x14ac:dyDescent="0.45">
      <c r="A57" s="7"/>
      <c r="B57" s="2">
        <f>B19</f>
        <v>0</v>
      </c>
      <c r="C57" s="32"/>
      <c r="D57" s="7">
        <f>SUM(D43:D56)</f>
        <v>16</v>
      </c>
    </row>
    <row r="58" spans="1:15" ht="18" customHeight="1" x14ac:dyDescent="0.45">
      <c r="G58"/>
    </row>
    <row r="59" spans="1:15" ht="18" customHeight="1" x14ac:dyDescent="0.45">
      <c r="G59"/>
    </row>
    <row r="60" spans="1:15" s="4" customFormat="1" ht="18" customHeight="1" x14ac:dyDescent="0.45">
      <c r="A60" s="8"/>
      <c r="B60" s="41" t="s">
        <v>5</v>
      </c>
      <c r="C60" s="42"/>
      <c r="D60" s="8" t="s">
        <v>30</v>
      </c>
    </row>
    <row r="61" spans="1:15" s="4" customFormat="1" ht="18" customHeight="1" x14ac:dyDescent="0.45">
      <c r="A61" s="8" t="s">
        <v>38</v>
      </c>
      <c r="B61" s="8" t="s">
        <v>6</v>
      </c>
      <c r="C61" s="8" t="s">
        <v>8</v>
      </c>
      <c r="D61" s="8" t="s">
        <v>7</v>
      </c>
    </row>
    <row r="62" spans="1:15" ht="18" customHeight="1" x14ac:dyDescent="0.45">
      <c r="A62" s="6" t="s">
        <v>9</v>
      </c>
      <c r="B62" s="28" t="s">
        <v>36</v>
      </c>
      <c r="C62" s="21" t="s">
        <v>19</v>
      </c>
      <c r="D62" s="6">
        <v>1</v>
      </c>
      <c r="G62"/>
    </row>
    <row r="63" spans="1:15" ht="18" customHeight="1" x14ac:dyDescent="0.45">
      <c r="A63" s="6"/>
      <c r="B63" s="1" t="s">
        <v>39</v>
      </c>
      <c r="C63" s="22" t="s">
        <v>21</v>
      </c>
      <c r="D63" s="27">
        <v>1.5</v>
      </c>
      <c r="G63"/>
    </row>
    <row r="64" spans="1:15" ht="18" customHeight="1" x14ac:dyDescent="0.45">
      <c r="A64" s="6"/>
      <c r="B64" s="1" t="s">
        <v>41</v>
      </c>
      <c r="C64" s="25" t="s">
        <v>26</v>
      </c>
      <c r="D64" s="6">
        <v>0.75</v>
      </c>
    </row>
    <row r="65" spans="1:7" ht="18" customHeight="1" x14ac:dyDescent="0.45">
      <c r="A65" s="6" t="s">
        <v>10</v>
      </c>
      <c r="B65" s="29" t="s">
        <v>43</v>
      </c>
      <c r="C65" s="21" t="s">
        <v>19</v>
      </c>
      <c r="D65" s="27">
        <v>1.5</v>
      </c>
    </row>
    <row r="66" spans="1:7" ht="18" customHeight="1" x14ac:dyDescent="0.45">
      <c r="A66" s="6"/>
      <c r="B66" s="30" t="s">
        <v>44</v>
      </c>
      <c r="C66" s="22" t="s">
        <v>21</v>
      </c>
      <c r="D66" s="27">
        <v>0.75</v>
      </c>
    </row>
    <row r="67" spans="1:7" ht="18" customHeight="1" x14ac:dyDescent="0.45">
      <c r="A67" s="6"/>
      <c r="B67" s="29" t="s">
        <v>43</v>
      </c>
      <c r="C67" s="21" t="s">
        <v>19</v>
      </c>
      <c r="D67" s="6">
        <v>0.5</v>
      </c>
    </row>
    <row r="68" spans="1:7" ht="18" customHeight="1" x14ac:dyDescent="0.45">
      <c r="A68" s="6"/>
      <c r="B68" s="29" t="s">
        <v>40</v>
      </c>
      <c r="C68" s="24" t="s">
        <v>22</v>
      </c>
      <c r="D68" s="6">
        <v>2</v>
      </c>
    </row>
    <row r="69" spans="1:7" ht="18" customHeight="1" x14ac:dyDescent="0.45">
      <c r="A69" s="6"/>
      <c r="B69" s="33" t="s">
        <v>37</v>
      </c>
      <c r="C69" s="22" t="s">
        <v>21</v>
      </c>
      <c r="D69" s="6">
        <v>0.5</v>
      </c>
    </row>
    <row r="70" spans="1:7" ht="18" customHeight="1" x14ac:dyDescent="0.45">
      <c r="A70" s="6"/>
      <c r="B70" s="29" t="s">
        <v>47</v>
      </c>
      <c r="C70" s="23" t="s">
        <v>20</v>
      </c>
      <c r="D70" s="6">
        <v>0.75</v>
      </c>
    </row>
    <row r="71" spans="1:7" ht="18" customHeight="1" x14ac:dyDescent="0.45">
      <c r="A71" s="6"/>
      <c r="B71" s="29" t="s">
        <v>49</v>
      </c>
      <c r="C71" s="21" t="s">
        <v>19</v>
      </c>
      <c r="D71" s="27">
        <v>3.5</v>
      </c>
    </row>
    <row r="72" spans="1:7" ht="18" customHeight="1" x14ac:dyDescent="0.45">
      <c r="A72" s="6" t="s">
        <v>11</v>
      </c>
      <c r="B72" s="1" t="s">
        <v>51</v>
      </c>
      <c r="C72" s="23" t="s">
        <v>20</v>
      </c>
      <c r="D72" s="6">
        <v>2</v>
      </c>
    </row>
    <row r="73" spans="1:7" ht="18" customHeight="1" x14ac:dyDescent="0.45">
      <c r="A73" s="6"/>
      <c r="B73" s="1" t="s">
        <v>52</v>
      </c>
      <c r="C73" s="21" t="s">
        <v>19</v>
      </c>
      <c r="D73" s="6">
        <v>1</v>
      </c>
    </row>
    <row r="74" spans="1:7" ht="18" customHeight="1" x14ac:dyDescent="0.45">
      <c r="A74" s="6"/>
      <c r="B74" s="1"/>
      <c r="C74" s="31"/>
      <c r="D74" s="6"/>
    </row>
    <row r="75" spans="1:7" ht="18" customHeight="1" x14ac:dyDescent="0.45">
      <c r="A75" s="6"/>
      <c r="B75" s="1"/>
      <c r="C75" s="1"/>
      <c r="D75" s="6"/>
    </row>
    <row r="76" spans="1:7" s="4" customFormat="1" ht="18" customHeight="1" x14ac:dyDescent="0.45">
      <c r="A76" s="7"/>
      <c r="B76" s="2"/>
      <c r="C76" s="2"/>
      <c r="D76" s="7">
        <f>SUM(D62:D75)</f>
        <v>15.75</v>
      </c>
      <c r="G76" s="5"/>
    </row>
    <row r="77" spans="1:7" s="4" customFormat="1" ht="18" customHeight="1" x14ac:dyDescent="0.45">
      <c r="B77" s="17"/>
      <c r="C77" s="17"/>
      <c r="D77" s="18"/>
      <c r="G77" s="5"/>
    </row>
    <row r="79" spans="1:7" ht="18" customHeight="1" x14ac:dyDescent="0.45">
      <c r="A79" s="8"/>
      <c r="B79" s="41" t="s">
        <v>5</v>
      </c>
      <c r="C79" s="42"/>
      <c r="D79" s="8" t="s">
        <v>31</v>
      </c>
      <c r="E79" s="4"/>
    </row>
    <row r="80" spans="1:7" ht="18" customHeight="1" x14ac:dyDescent="0.45">
      <c r="A80" s="8" t="s">
        <v>38</v>
      </c>
      <c r="B80" s="8" t="s">
        <v>6</v>
      </c>
      <c r="C80" s="8" t="s">
        <v>8</v>
      </c>
      <c r="D80" s="8" t="s">
        <v>7</v>
      </c>
    </row>
    <row r="81" spans="1:4" ht="18" customHeight="1" x14ac:dyDescent="0.45">
      <c r="A81" s="6" t="s">
        <v>9</v>
      </c>
      <c r="B81" s="28" t="s">
        <v>36</v>
      </c>
      <c r="C81" s="37" t="s">
        <v>19</v>
      </c>
      <c r="D81" s="34">
        <v>1</v>
      </c>
    </row>
    <row r="82" spans="1:4" ht="18" customHeight="1" x14ac:dyDescent="0.45">
      <c r="A82" s="6"/>
      <c r="B82" s="1" t="s">
        <v>39</v>
      </c>
      <c r="C82" s="22" t="s">
        <v>21</v>
      </c>
      <c r="D82" s="34">
        <v>1.5</v>
      </c>
    </row>
    <row r="83" spans="1:4" ht="18" customHeight="1" x14ac:dyDescent="0.45">
      <c r="A83" s="6"/>
      <c r="B83" s="29" t="s">
        <v>13</v>
      </c>
      <c r="C83" s="37" t="s">
        <v>19</v>
      </c>
      <c r="D83" s="34">
        <v>0.5</v>
      </c>
    </row>
    <row r="84" spans="1:4" ht="18" customHeight="1" x14ac:dyDescent="0.45">
      <c r="A84" s="6" t="s">
        <v>10</v>
      </c>
      <c r="B84" s="29" t="s">
        <v>43</v>
      </c>
      <c r="C84" s="37" t="s">
        <v>19</v>
      </c>
      <c r="D84" s="34">
        <v>1.5</v>
      </c>
    </row>
    <row r="85" spans="1:4" ht="18" customHeight="1" x14ac:dyDescent="0.45">
      <c r="A85" s="6"/>
      <c r="B85" s="30" t="s">
        <v>44</v>
      </c>
      <c r="C85" s="22" t="s">
        <v>21</v>
      </c>
      <c r="D85" s="34">
        <v>0.75</v>
      </c>
    </row>
    <row r="86" spans="1:4" ht="18" customHeight="1" x14ac:dyDescent="0.45">
      <c r="A86" s="6"/>
      <c r="B86" s="33" t="s">
        <v>37</v>
      </c>
      <c r="C86" s="22" t="s">
        <v>21</v>
      </c>
      <c r="D86" s="35">
        <v>0.5</v>
      </c>
    </row>
    <row r="87" spans="1:4" ht="18" customHeight="1" x14ac:dyDescent="0.45">
      <c r="A87" s="6"/>
      <c r="B87" s="29" t="s">
        <v>47</v>
      </c>
      <c r="C87" s="23" t="s">
        <v>20</v>
      </c>
      <c r="D87" s="34">
        <v>1</v>
      </c>
    </row>
    <row r="88" spans="1:4" ht="18" customHeight="1" x14ac:dyDescent="0.45">
      <c r="A88" s="6"/>
      <c r="B88" s="29" t="s">
        <v>49</v>
      </c>
      <c r="C88" s="37" t="s">
        <v>19</v>
      </c>
      <c r="D88" s="34">
        <v>3.5</v>
      </c>
    </row>
    <row r="89" spans="1:4" ht="18" customHeight="1" x14ac:dyDescent="0.45">
      <c r="A89" s="6"/>
      <c r="B89" s="29" t="s">
        <v>40</v>
      </c>
      <c r="C89" s="38" t="s">
        <v>22</v>
      </c>
      <c r="D89" s="35">
        <v>2</v>
      </c>
    </row>
    <row r="90" spans="1:4" ht="18" customHeight="1" x14ac:dyDescent="0.45">
      <c r="A90" s="6" t="s">
        <v>11</v>
      </c>
      <c r="B90" s="1" t="s">
        <v>51</v>
      </c>
      <c r="C90" s="23" t="s">
        <v>20</v>
      </c>
      <c r="D90" s="34">
        <v>2</v>
      </c>
    </row>
    <row r="91" spans="1:4" ht="18" customHeight="1" x14ac:dyDescent="0.45">
      <c r="A91" s="6"/>
      <c r="B91" s="1" t="s">
        <v>52</v>
      </c>
      <c r="C91" s="37" t="s">
        <v>19</v>
      </c>
      <c r="D91" s="34">
        <v>1</v>
      </c>
    </row>
    <row r="92" spans="1:4" ht="18" customHeight="1" x14ac:dyDescent="0.45">
      <c r="A92" s="6"/>
      <c r="B92" s="29" t="s">
        <v>54</v>
      </c>
      <c r="C92" s="23" t="s">
        <v>20</v>
      </c>
      <c r="D92" s="34">
        <v>1.5</v>
      </c>
    </row>
    <row r="93" spans="1:4" ht="18" customHeight="1" x14ac:dyDescent="0.45">
      <c r="A93" s="6"/>
      <c r="B93" s="1"/>
      <c r="C93" s="1"/>
      <c r="D93" s="34"/>
    </row>
    <row r="94" spans="1:4" ht="18" customHeight="1" x14ac:dyDescent="0.45">
      <c r="A94" s="1"/>
      <c r="B94" s="1"/>
      <c r="C94" s="1"/>
    </row>
    <row r="95" spans="1:4" ht="18" customHeight="1" x14ac:dyDescent="0.45">
      <c r="A95" s="7"/>
      <c r="B95" s="2"/>
      <c r="C95" s="2"/>
      <c r="D95" s="36">
        <f>SUM(D81:D93)</f>
        <v>16.75</v>
      </c>
    </row>
    <row r="96" spans="1:4" ht="18" customHeight="1" x14ac:dyDescent="0.45">
      <c r="B96" s="17"/>
      <c r="C96" s="17"/>
      <c r="D96" s="18"/>
    </row>
    <row r="98" spans="4:7" ht="18" customHeight="1" x14ac:dyDescent="0.45">
      <c r="D98" s="11"/>
      <c r="G98"/>
    </row>
    <row r="99" spans="4:7" ht="18" customHeight="1" x14ac:dyDescent="0.45">
      <c r="D99" s="11"/>
      <c r="G99"/>
    </row>
    <row r="100" spans="4:7" ht="18" customHeight="1" x14ac:dyDescent="0.45">
      <c r="D100" s="11"/>
      <c r="G100"/>
    </row>
    <row r="101" spans="4:7" ht="18" customHeight="1" x14ac:dyDescent="0.45">
      <c r="D101" s="11"/>
      <c r="G101"/>
    </row>
    <row r="102" spans="4:7" ht="18" customHeight="1" x14ac:dyDescent="0.45">
      <c r="D102" s="11"/>
      <c r="G102"/>
    </row>
    <row r="103" spans="4:7" ht="18" customHeight="1" x14ac:dyDescent="0.45">
      <c r="D103" s="11"/>
      <c r="G103"/>
    </row>
    <row r="104" spans="4:7" ht="18" customHeight="1" x14ac:dyDescent="0.45">
      <c r="D104" s="11"/>
      <c r="G104"/>
    </row>
    <row r="105" spans="4:7" ht="18" customHeight="1" x14ac:dyDescent="0.45">
      <c r="D105" s="11"/>
      <c r="G105"/>
    </row>
    <row r="106" spans="4:7" ht="18" customHeight="1" x14ac:dyDescent="0.45">
      <c r="D106" s="11"/>
      <c r="G106"/>
    </row>
    <row r="107" spans="4:7" ht="18" customHeight="1" x14ac:dyDescent="0.45">
      <c r="D107" s="11"/>
      <c r="G107"/>
    </row>
    <row r="108" spans="4:7" ht="18" customHeight="1" x14ac:dyDescent="0.45">
      <c r="D108" s="11"/>
      <c r="G108"/>
    </row>
    <row r="109" spans="4:7" ht="18" customHeight="1" x14ac:dyDescent="0.45">
      <c r="D109" s="11"/>
      <c r="G109"/>
    </row>
    <row r="110" spans="4:7" ht="18" customHeight="1" x14ac:dyDescent="0.45">
      <c r="D110" s="11"/>
      <c r="G110"/>
    </row>
    <row r="111" spans="4:7" ht="18" customHeight="1" x14ac:dyDescent="0.45">
      <c r="D111" s="11"/>
      <c r="G111"/>
    </row>
    <row r="112" spans="4:7" ht="18" customHeight="1" x14ac:dyDescent="0.45">
      <c r="D112" s="11"/>
      <c r="G112"/>
    </row>
    <row r="113" spans="4:7" ht="18" customHeight="1" x14ac:dyDescent="0.45">
      <c r="D113" s="11"/>
      <c r="G113"/>
    </row>
    <row r="114" spans="4:7" ht="18" customHeight="1" x14ac:dyDescent="0.45">
      <c r="D114" s="11"/>
      <c r="G114"/>
    </row>
    <row r="115" spans="4:7" ht="18" customHeight="1" x14ac:dyDescent="0.45">
      <c r="D115" s="11"/>
      <c r="G115"/>
    </row>
  </sheetData>
  <mergeCells count="5">
    <mergeCell ref="B3:C3"/>
    <mergeCell ref="B22:C22"/>
    <mergeCell ref="B41:C41"/>
    <mergeCell ref="B60:C60"/>
    <mergeCell ref="B79:C79"/>
  </mergeCells>
  <phoneticPr fontId="7" type="noConversion"/>
  <dataValidations count="2">
    <dataValidation type="list" allowBlank="1" showInputMessage="1" showErrorMessage="1" sqref="C56 C93 C16:C18 C37 C74:C75" xr:uid="{1646709A-865E-46A1-A97E-CD744BA650A0}">
      <formula1>#REF!</formula1>
    </dataValidation>
    <dataValidation type="list" allowBlank="1" showInputMessage="1" showErrorMessage="1" sqref="B54:B55 B36:B37 B15:B18 B5:B8 B43:B45 B24:B26 B62:B64 B81:B83 B52 B13 B74:B75 B92:B93" xr:uid="{6F25DC9C-D6DF-4908-9C7C-C27434FD109A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041B8464F294C49B82EB5EB4FC95DA2" ma:contentTypeVersion="9" ma:contentTypeDescription="Opprett et nytt dokument." ma:contentTypeScope="" ma:versionID="6a8b20cc0b7c04c41796caeeb8fab0b9">
  <xsd:schema xmlns:xsd="http://www.w3.org/2001/XMLSchema" xmlns:xs="http://www.w3.org/2001/XMLSchema" xmlns:p="http://schemas.microsoft.com/office/2006/metadata/properties" xmlns:ns2="7a21c97b-d122-490a-bd9c-0777efb62748" targetNamespace="http://schemas.microsoft.com/office/2006/metadata/properties" ma:root="true" ma:fieldsID="40a10a178262115351587034ac74d7ee" ns2:_="">
    <xsd:import namespace="7a21c97b-d122-490a-bd9c-0777efb627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1c97b-d122-490a-bd9c-0777efb627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8EB47F-F46F-4573-A2DD-55D1251BA3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1c97b-d122-490a-bd9c-0777efb627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D1E7F3-6731-43BA-B08D-4286D3F29A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0D85FA-BE9F-4D7D-95FC-DED7BE1172E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3E17E67-7EE9-4E11-BCE8-A6EC8C83259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Oppsummering</vt:lpstr>
      <vt:lpstr>Timeliste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monisto</dc:creator>
  <cp:lastModifiedBy>Melisa Visnjic</cp:lastModifiedBy>
  <dcterms:created xsi:type="dcterms:W3CDTF">2021-09-28T08:18:03Z</dcterms:created>
  <dcterms:modified xsi:type="dcterms:W3CDTF">2022-11-22T08:52:58Z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0x010100D041B8464F294C49B82EB5EB4FC95DA2</vt:lpwstr>
  </property>
</Properties>
</file>